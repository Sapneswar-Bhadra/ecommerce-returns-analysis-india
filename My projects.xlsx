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ne\OneDrive\Desktop\"/>
    </mc:Choice>
  </mc:AlternateContent>
  <xr:revisionPtr revIDLastSave="0" documentId="13_ncr:1_{3490A215-0B7F-44F0-BE92-BED66791CF29}" xr6:coauthVersionLast="47" xr6:coauthVersionMax="47" xr10:uidLastSave="{00000000-0000-0000-0000-000000000000}"/>
  <bookViews>
    <workbookView xWindow="-120" yWindow="-120" windowWidth="20730" windowHeight="11040" activeTab="2" xr2:uid="{02191E7B-7C4F-43CA-9987-FCD620402B4B}"/>
  </bookViews>
  <sheets>
    <sheet name="Customers" sheetId="1" r:id="rId1"/>
    <sheet name="products" sheetId="2" r:id="rId2"/>
    <sheet name="Risk %" sheetId="7" r:id="rId3"/>
    <sheet name="Orders" sheetId="3" r:id="rId4"/>
    <sheet name="Return Rate" sheetId="5" r:id="rId5"/>
    <sheet name="Delivery" sheetId="4" r:id="rId6"/>
    <sheet name="pivot by delivery" sheetId="6" r:id="rId7"/>
  </sheets>
  <calcPr calcId="191029"/>
  <pivotCaches>
    <pivotCache cacheId="0" r:id="rId8"/>
    <pivotCache cacheId="1" r:id="rId9"/>
    <pivotCache cacheId="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2" i="3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J3" i="3"/>
  <c r="I3" i="3"/>
  <c r="I4" i="3"/>
  <c r="I5" i="3"/>
  <c r="I6" i="3"/>
  <c r="I7" i="3"/>
  <c r="I8" i="3"/>
  <c r="I9" i="3"/>
  <c r="I2" i="3"/>
</calcChain>
</file>

<file path=xl/sharedStrings.xml><?xml version="1.0" encoding="utf-8"?>
<sst xmlns="http://schemas.openxmlformats.org/spreadsheetml/2006/main" count="151" uniqueCount="99">
  <si>
    <t xml:space="preserve">customer_id </t>
  </si>
  <si>
    <t>city</t>
  </si>
  <si>
    <t>state</t>
  </si>
  <si>
    <t>past_return_rate</t>
  </si>
  <si>
    <t>C001</t>
  </si>
  <si>
    <t>Delhi</t>
  </si>
  <si>
    <t>C002</t>
  </si>
  <si>
    <t>Mumbai</t>
  </si>
  <si>
    <t>Maharashtra</t>
  </si>
  <si>
    <t>C003</t>
  </si>
  <si>
    <t>Bengaluru</t>
  </si>
  <si>
    <t>Karnataka</t>
  </si>
  <si>
    <t>C004</t>
  </si>
  <si>
    <t>Chennai</t>
  </si>
  <si>
    <t>Tamil Nadu</t>
  </si>
  <si>
    <t>C005</t>
  </si>
  <si>
    <t>Hyderabad</t>
  </si>
  <si>
    <t>Telangana</t>
  </si>
  <si>
    <t>C006</t>
  </si>
  <si>
    <t>Pune</t>
  </si>
  <si>
    <t>C007</t>
  </si>
  <si>
    <t>Jaipur</t>
  </si>
  <si>
    <t>Rajasthan</t>
  </si>
  <si>
    <t>C008</t>
  </si>
  <si>
    <t>Lucknow</t>
  </si>
  <si>
    <t>Uttar Pradesh</t>
  </si>
  <si>
    <t>C009</t>
  </si>
  <si>
    <t>Indore</t>
  </si>
  <si>
    <t>Madhya Pradesh</t>
  </si>
  <si>
    <t>C010</t>
  </si>
  <si>
    <t>Patna</t>
  </si>
  <si>
    <t>Bihar</t>
  </si>
  <si>
    <t>product_id</t>
  </si>
  <si>
    <t>category</t>
  </si>
  <si>
    <t>base_price</t>
  </si>
  <si>
    <t>fragile</t>
  </si>
  <si>
    <t>P001</t>
  </si>
  <si>
    <t>Electronics</t>
  </si>
  <si>
    <t>Yes</t>
  </si>
  <si>
    <t>P002</t>
  </si>
  <si>
    <t>Fashion</t>
  </si>
  <si>
    <t>No</t>
  </si>
  <si>
    <t>P003</t>
  </si>
  <si>
    <t>Home Appliances</t>
  </si>
  <si>
    <t>P004</t>
  </si>
  <si>
    <t>Beauty</t>
  </si>
  <si>
    <t>P005</t>
  </si>
  <si>
    <t>Footwear</t>
  </si>
  <si>
    <t>P006</t>
  </si>
  <si>
    <t>P007</t>
  </si>
  <si>
    <t>Kitchen</t>
  </si>
  <si>
    <t>P008</t>
  </si>
  <si>
    <t>Furniture</t>
  </si>
  <si>
    <t>order_id</t>
  </si>
  <si>
    <t>discount_percent</t>
  </si>
  <si>
    <t>payment_method</t>
  </si>
  <si>
    <t>order_status</t>
  </si>
  <si>
    <t>order_date</t>
  </si>
  <si>
    <t>order_value</t>
  </si>
  <si>
    <t>customer_id</t>
  </si>
  <si>
    <t>O001</t>
  </si>
  <si>
    <t>COD</t>
  </si>
  <si>
    <t>Returned</t>
  </si>
  <si>
    <t>O002</t>
  </si>
  <si>
    <t>Prepaid</t>
  </si>
  <si>
    <t>Delivered</t>
  </si>
  <si>
    <t>O003</t>
  </si>
  <si>
    <t>Rejected</t>
  </si>
  <si>
    <t>O004</t>
  </si>
  <si>
    <t>O005</t>
  </si>
  <si>
    <t>O006</t>
  </si>
  <si>
    <t>O007</t>
  </si>
  <si>
    <t>Cancelled</t>
  </si>
  <si>
    <t>O008</t>
  </si>
  <si>
    <t>delivery_distance_km</t>
  </si>
  <si>
    <t>delivery_days</t>
  </si>
  <si>
    <t>is_return</t>
  </si>
  <si>
    <t>Overall Return rate%</t>
  </si>
  <si>
    <t>Row Labels</t>
  </si>
  <si>
    <t>Grand Total</t>
  </si>
  <si>
    <t>Average of is_return</t>
  </si>
  <si>
    <t>distance_bucket</t>
  </si>
  <si>
    <t>Return</t>
  </si>
  <si>
    <t>0-50 km</t>
  </si>
  <si>
    <t>100+ km</t>
  </si>
  <si>
    <t>50-100 km</t>
  </si>
  <si>
    <t>Average of Return</t>
  </si>
  <si>
    <t>Risk_Flag</t>
  </si>
  <si>
    <t>High Risk</t>
  </si>
  <si>
    <t>Low Risk</t>
  </si>
  <si>
    <t>High Risk= much higher returns</t>
  </si>
  <si>
    <t>Low Risk=safer orders</t>
  </si>
  <si>
    <r>
      <t>0-50 km</t>
    </r>
    <r>
      <rPr>
        <sz val="11"/>
        <color theme="1"/>
        <rFont val="Calibri"/>
        <family val="2"/>
        <scheme val="minor"/>
      </rPr>
      <t xml:space="preserve"> → lowest return %</t>
    </r>
  </si>
  <si>
    <r>
      <t>50-100 km</t>
    </r>
    <r>
      <rPr>
        <sz val="11"/>
        <color theme="1"/>
        <rFont val="Calibri"/>
        <family val="2"/>
        <scheme val="minor"/>
      </rPr>
      <t xml:space="preserve"> → medium</t>
    </r>
  </si>
  <si>
    <r>
      <t>100+ km</t>
    </r>
    <r>
      <rPr>
        <sz val="11"/>
        <color theme="1"/>
        <rFont val="Calibri"/>
        <family val="2"/>
        <scheme val="minor"/>
      </rPr>
      <t xml:space="preserve"> → highest</t>
    </r>
  </si>
  <si>
    <t>Higher % = more failed orders</t>
  </si>
  <si>
    <t>In India:</t>
  </si>
  <si>
    <t>COD almost always has higher failure</t>
  </si>
  <si>
    <t>This validates business reality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</si>
</sst>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2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3"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neswar Bhadra" refreshedDate="46024.599770833331" createdVersion="8" refreshedVersion="8" minRefreshableVersion="3" recordCount="8" xr:uid="{BCF56F44-467C-4FCF-9235-C2296C36D60E}">
  <cacheSource type="worksheet">
    <worksheetSource ref="A1:J9" sheet="Orders"/>
  </cacheSource>
  <cacheFields count="10">
    <cacheField name="order_id" numFmtId="0">
      <sharedItems/>
    </cacheField>
    <cacheField name="customer_id" numFmtId="0">
      <sharedItems/>
    </cacheField>
    <cacheField name="product_id" numFmtId="0">
      <sharedItems/>
    </cacheField>
    <cacheField name="order_value" numFmtId="0">
      <sharedItems containsSemiMixedTypes="0" containsString="0" containsNumber="1" containsInteger="1" minValue="699" maxValue="22499"/>
    </cacheField>
    <cacheField name="discount_percent" numFmtId="0">
      <sharedItems containsSemiMixedTypes="0" containsString="0" containsNumber="1" containsInteger="1" minValue="10" maxValue="15"/>
    </cacheField>
    <cacheField name="payment_method" numFmtId="0">
      <sharedItems count="2">
        <s v="COD"/>
        <s v="Prepaid"/>
      </sharedItems>
    </cacheField>
    <cacheField name="order_status" numFmtId="0">
      <sharedItems/>
    </cacheField>
    <cacheField name="order_date" numFmtId="14">
      <sharedItems containsSemiMixedTypes="0" containsNonDate="0" containsDate="1" containsString="0" minDate="2024-01-05T00:00:00" maxDate="2024-01-12T00:00:00"/>
    </cacheField>
    <cacheField name="is_return" numFmtId="0">
      <sharedItems containsSemiMixedTypes="0" containsString="0" containsNumber="1" containsInteger="1" minValue="0" maxValue="1"/>
    </cacheField>
    <cacheField name="Overall Return rate%" numFmtId="0">
      <sharedItems containsString="0" containsBlank="1" containsNumber="1" minValue="62.5" maxValue="6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neswar Bhadra" refreshedDate="46024.611960532406" createdVersion="8" refreshedVersion="8" minRefreshableVersion="3" recordCount="8" xr:uid="{ABA23ED1-75FC-4494-A813-22DC67340B38}">
  <cacheSource type="worksheet">
    <worksheetSource ref="A1:E9" sheet="Delivery"/>
  </cacheSource>
  <cacheFields count="5">
    <cacheField name="order_id" numFmtId="0">
      <sharedItems/>
    </cacheField>
    <cacheField name="delivery_distance_km" numFmtId="0">
      <sharedItems containsSemiMixedTypes="0" containsString="0" containsNumber="1" containsInteger="1" minValue="12" maxValue="300"/>
    </cacheField>
    <cacheField name="delivery_days" numFmtId="0">
      <sharedItems containsSemiMixedTypes="0" containsString="0" containsNumber="1" containsInteger="1" minValue="2" maxValue="8"/>
    </cacheField>
    <cacheField name="distance_bucket" numFmtId="0">
      <sharedItems count="3">
        <s v="100+ km"/>
        <s v="0-50 km"/>
        <s v="50-100 km"/>
      </sharedItems>
    </cacheField>
    <cacheField name="Ret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neswar Bhadra" refreshedDate="46024.620422685184" createdVersion="8" refreshedVersion="8" minRefreshableVersion="3" recordCount="8" xr:uid="{1CA5A193-1C50-4B05-B216-A5708A79DC5D}">
  <cacheSource type="worksheet">
    <worksheetSource ref="A1:K9" sheet="Orders"/>
  </cacheSource>
  <cacheFields count="11">
    <cacheField name="order_id" numFmtId="0">
      <sharedItems/>
    </cacheField>
    <cacheField name="customer_id" numFmtId="0">
      <sharedItems/>
    </cacheField>
    <cacheField name="product_id" numFmtId="0">
      <sharedItems/>
    </cacheField>
    <cacheField name="order_value" numFmtId="0">
      <sharedItems containsSemiMixedTypes="0" containsString="0" containsNumber="1" containsInteger="1" minValue="699" maxValue="22499"/>
    </cacheField>
    <cacheField name="discount_percent" numFmtId="0">
      <sharedItems containsSemiMixedTypes="0" containsString="0" containsNumber="1" containsInteger="1" minValue="10" maxValue="15"/>
    </cacheField>
    <cacheField name="payment_method" numFmtId="0">
      <sharedItems/>
    </cacheField>
    <cacheField name="order_status" numFmtId="0">
      <sharedItems/>
    </cacheField>
    <cacheField name="order_date" numFmtId="14">
      <sharedItems containsSemiMixedTypes="0" containsNonDate="0" containsDate="1" containsString="0" minDate="2024-01-05T00:00:00" maxDate="2024-01-12T00:00:00"/>
    </cacheField>
    <cacheField name="is_return" numFmtId="0">
      <sharedItems containsSemiMixedTypes="0" containsString="0" containsNumber="1" containsInteger="1" minValue="0" maxValue="1"/>
    </cacheField>
    <cacheField name="Overall Return rate%" numFmtId="0">
      <sharedItems containsString="0" containsBlank="1" containsNumber="1" minValue="62.5" maxValue="62.5"/>
    </cacheField>
    <cacheField name="Risk_Flag" numFmtId="0">
      <sharedItems count="2">
        <s v="High Risk"/>
        <s v="Low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O001"/>
    <s v="C001"/>
    <s v="P001"/>
    <n v="22499"/>
    <n v="10"/>
    <x v="0"/>
    <s v="Returned"/>
    <d v="2024-01-05T00:00:00"/>
    <n v="1"/>
    <m/>
  </r>
  <r>
    <s v="O002"/>
    <s v="C002"/>
    <s v="P002"/>
    <n v="1799"/>
    <n v="10"/>
    <x v="1"/>
    <s v="Delivered"/>
    <d v="2024-01-06T00:00:00"/>
    <n v="0"/>
    <n v="62.5"/>
  </r>
  <r>
    <s v="O003"/>
    <s v="C003"/>
    <s v="P003"/>
    <n v="11699"/>
    <n v="10"/>
    <x v="0"/>
    <s v="Rejected"/>
    <d v="2024-01-07T00:00:00"/>
    <n v="1"/>
    <m/>
  </r>
  <r>
    <s v="O004"/>
    <s v="C004"/>
    <s v="P004"/>
    <n v="699"/>
    <n v="12"/>
    <x v="1"/>
    <s v="Delivered"/>
    <d v="2024-01-07T00:00:00"/>
    <n v="0"/>
    <m/>
  </r>
  <r>
    <s v="O005"/>
    <s v="C005"/>
    <s v="P005"/>
    <n v="2699"/>
    <n v="10"/>
    <x v="0"/>
    <s v="Returned"/>
    <d v="2024-01-08T00:00:00"/>
    <n v="1"/>
    <m/>
  </r>
  <r>
    <s v="O006"/>
    <s v="C006"/>
    <s v="P006"/>
    <n v="13999"/>
    <n v="12"/>
    <x v="1"/>
    <s v="Delivered"/>
    <d v="2024-01-09T00:00:00"/>
    <n v="0"/>
    <m/>
  </r>
  <r>
    <s v="O007"/>
    <s v="C007"/>
    <s v="P007"/>
    <n v="2999"/>
    <n v="15"/>
    <x v="0"/>
    <s v="Cancelled"/>
    <d v="2024-01-10T00:00:00"/>
    <n v="1"/>
    <m/>
  </r>
  <r>
    <s v="O008"/>
    <s v="C008"/>
    <s v="P008"/>
    <n v="16999"/>
    <n v="10"/>
    <x v="0"/>
    <s v="Returned"/>
    <d v="2024-01-11T00:00:00"/>
    <n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O001"/>
    <n v="120"/>
    <n v="6"/>
    <x v="0"/>
    <n v="1"/>
  </r>
  <r>
    <s v="O002"/>
    <n v="18"/>
    <n v="2"/>
    <x v="1"/>
    <n v="0"/>
  </r>
  <r>
    <s v="O003"/>
    <n v="210"/>
    <n v="7"/>
    <x v="0"/>
    <n v="1"/>
  </r>
  <r>
    <s v="O004"/>
    <n v="12"/>
    <n v="2"/>
    <x v="1"/>
    <n v="0"/>
  </r>
  <r>
    <s v="O005"/>
    <n v="95"/>
    <n v="4"/>
    <x v="2"/>
    <n v="1"/>
  </r>
  <r>
    <s v="O006"/>
    <n v="40"/>
    <n v="3"/>
    <x v="1"/>
    <n v="0"/>
  </r>
  <r>
    <s v="O007"/>
    <n v="160"/>
    <n v="6"/>
    <x v="0"/>
    <n v="1"/>
  </r>
  <r>
    <s v="O008"/>
    <n v="300"/>
    <n v="8"/>
    <x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O001"/>
    <s v="C001"/>
    <s v="P001"/>
    <n v="22499"/>
    <n v="10"/>
    <s v="COD"/>
    <s v="Returned"/>
    <d v="2024-01-05T00:00:00"/>
    <n v="1"/>
    <m/>
    <x v="0"/>
  </r>
  <r>
    <s v="O002"/>
    <s v="C002"/>
    <s v="P002"/>
    <n v="1799"/>
    <n v="10"/>
    <s v="Prepaid"/>
    <s v="Delivered"/>
    <d v="2024-01-06T00:00:00"/>
    <n v="0"/>
    <n v="62.5"/>
    <x v="1"/>
  </r>
  <r>
    <s v="O003"/>
    <s v="C003"/>
    <s v="P003"/>
    <n v="11699"/>
    <n v="10"/>
    <s v="COD"/>
    <s v="Rejected"/>
    <d v="2024-01-07T00:00:00"/>
    <n v="1"/>
    <m/>
    <x v="0"/>
  </r>
  <r>
    <s v="O004"/>
    <s v="C004"/>
    <s v="P004"/>
    <n v="699"/>
    <n v="12"/>
    <s v="Prepaid"/>
    <s v="Delivered"/>
    <d v="2024-01-07T00:00:00"/>
    <n v="0"/>
    <m/>
    <x v="1"/>
  </r>
  <r>
    <s v="O005"/>
    <s v="C005"/>
    <s v="P005"/>
    <n v="2699"/>
    <n v="10"/>
    <s v="COD"/>
    <s v="Returned"/>
    <d v="2024-01-08T00:00:00"/>
    <n v="1"/>
    <m/>
    <x v="0"/>
  </r>
  <r>
    <s v="O006"/>
    <s v="C006"/>
    <s v="P006"/>
    <n v="13999"/>
    <n v="12"/>
    <s v="Prepaid"/>
    <s v="Delivered"/>
    <d v="2024-01-09T00:00:00"/>
    <n v="0"/>
    <m/>
    <x v="1"/>
  </r>
  <r>
    <s v="O007"/>
    <s v="C007"/>
    <s v="P007"/>
    <n v="2999"/>
    <n v="15"/>
    <s v="COD"/>
    <s v="Cancelled"/>
    <d v="2024-01-10T00:00:00"/>
    <n v="1"/>
    <m/>
    <x v="0"/>
  </r>
  <r>
    <s v="O008"/>
    <s v="C008"/>
    <s v="P008"/>
    <n v="16999"/>
    <n v="10"/>
    <s v="COD"/>
    <s v="Returned"/>
    <d v="2024-01-11T00:00:00"/>
    <n v="1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63A05-AACB-4222-8FAE-5A553EC6CD6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is_return" fld="8" subtotal="average" baseField="1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09944-8F9F-4DBD-8475-C03BC49AEB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is_return" fld="8" subtotal="average" baseField="5" baseItem="0"/>
  </dataFields>
  <formats count="1"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61967-7706-408D-AC5B-5C6CAED0A91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turn" fld="4" subtotal="average" baseField="3" baseItem="0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3E8C-BFE9-4A00-8C7A-030BB9511287}">
  <dimension ref="A1:D11"/>
  <sheetViews>
    <sheetView tabSelected="1" workbookViewId="0">
      <selection activeCell="E5" sqref="E5"/>
    </sheetView>
  </sheetViews>
  <sheetFormatPr defaultRowHeight="15"/>
  <cols>
    <col min="1" max="1" width="12.42578125" bestFit="1" customWidth="1"/>
    <col min="2" max="2" width="10.5703125" bestFit="1" customWidth="1"/>
    <col min="3" max="3" width="15.7109375" bestFit="1" customWidth="1"/>
    <col min="4" max="4" width="16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5</v>
      </c>
      <c r="D2">
        <v>0.12</v>
      </c>
    </row>
    <row r="3" spans="1:4">
      <c r="A3" t="s">
        <v>6</v>
      </c>
      <c r="B3" t="s">
        <v>7</v>
      </c>
      <c r="C3" t="s">
        <v>8</v>
      </c>
      <c r="D3">
        <v>0.05</v>
      </c>
    </row>
    <row r="4" spans="1:4">
      <c r="A4" t="s">
        <v>9</v>
      </c>
      <c r="B4" t="s">
        <v>10</v>
      </c>
      <c r="C4" t="s">
        <v>11</v>
      </c>
      <c r="D4">
        <v>0.08</v>
      </c>
    </row>
    <row r="5" spans="1:4">
      <c r="A5" t="s">
        <v>12</v>
      </c>
      <c r="B5" t="s">
        <v>13</v>
      </c>
      <c r="C5" t="s">
        <v>14</v>
      </c>
      <c r="D5">
        <v>0.04</v>
      </c>
    </row>
    <row r="6" spans="1:4">
      <c r="A6" t="s">
        <v>15</v>
      </c>
      <c r="B6" t="s">
        <v>16</v>
      </c>
      <c r="C6" t="s">
        <v>17</v>
      </c>
      <c r="D6">
        <v>0.1</v>
      </c>
    </row>
    <row r="7" spans="1:4">
      <c r="A7" t="s">
        <v>18</v>
      </c>
      <c r="B7" t="s">
        <v>19</v>
      </c>
      <c r="C7" t="s">
        <v>8</v>
      </c>
      <c r="D7">
        <v>0.06</v>
      </c>
    </row>
    <row r="8" spans="1:4">
      <c r="A8" t="s">
        <v>20</v>
      </c>
      <c r="B8" t="s">
        <v>21</v>
      </c>
      <c r="C8" t="s">
        <v>22</v>
      </c>
      <c r="D8">
        <v>0.15</v>
      </c>
    </row>
    <row r="9" spans="1:4">
      <c r="A9" t="s">
        <v>23</v>
      </c>
      <c r="B9" t="s">
        <v>24</v>
      </c>
      <c r="C9" t="s">
        <v>25</v>
      </c>
      <c r="D9">
        <v>0.18</v>
      </c>
    </row>
    <row r="10" spans="1:4">
      <c r="A10" t="s">
        <v>26</v>
      </c>
      <c r="B10" t="s">
        <v>27</v>
      </c>
      <c r="C10" t="s">
        <v>28</v>
      </c>
      <c r="D10">
        <v>7.0000000000000007E-2</v>
      </c>
    </row>
    <row r="11" spans="1:4">
      <c r="A11" t="s">
        <v>29</v>
      </c>
      <c r="B11" t="s">
        <v>30</v>
      </c>
      <c r="C11" t="s">
        <v>31</v>
      </c>
      <c r="D11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BABE-CB7C-4154-9C60-66F8F7C1ABBC}">
  <dimension ref="A1:D9"/>
  <sheetViews>
    <sheetView tabSelected="1" workbookViewId="0">
      <selection activeCell="E5" sqref="E5"/>
    </sheetView>
  </sheetViews>
  <sheetFormatPr defaultRowHeight="15"/>
  <cols>
    <col min="1" max="1" width="10.5703125" bestFit="1" customWidth="1"/>
    <col min="2" max="2" width="10.42578125" bestFit="1" customWidth="1"/>
    <col min="3" max="3" width="12.42578125" bestFit="1" customWidth="1"/>
  </cols>
  <sheetData>
    <row r="1" spans="1:4">
      <c r="A1" s="2" t="s">
        <v>32</v>
      </c>
      <c r="B1" s="2" t="s">
        <v>33</v>
      </c>
      <c r="C1" s="2" t="s">
        <v>34</v>
      </c>
      <c r="D1" s="2" t="s">
        <v>35</v>
      </c>
    </row>
    <row r="2" spans="1:4">
      <c r="A2" t="s">
        <v>36</v>
      </c>
      <c r="B2" t="s">
        <v>37</v>
      </c>
      <c r="C2">
        <v>24999</v>
      </c>
      <c r="D2" t="s">
        <v>38</v>
      </c>
    </row>
    <row r="3" spans="1:4">
      <c r="A3" t="s">
        <v>39</v>
      </c>
      <c r="B3" t="s">
        <v>40</v>
      </c>
      <c r="C3">
        <v>1999</v>
      </c>
      <c r="D3" t="s">
        <v>41</v>
      </c>
    </row>
    <row r="4" spans="1:4">
      <c r="A4" t="s">
        <v>42</v>
      </c>
      <c r="B4" t="s">
        <v>43</v>
      </c>
      <c r="C4">
        <v>12999</v>
      </c>
      <c r="D4" t="s">
        <v>38</v>
      </c>
    </row>
    <row r="5" spans="1:4">
      <c r="A5" t="s">
        <v>44</v>
      </c>
      <c r="B5" t="s">
        <v>45</v>
      </c>
      <c r="C5">
        <v>799</v>
      </c>
      <c r="D5" t="s">
        <v>41</v>
      </c>
    </row>
    <row r="6" spans="1:4">
      <c r="A6" t="s">
        <v>46</v>
      </c>
      <c r="B6" t="s">
        <v>47</v>
      </c>
      <c r="C6">
        <v>2999</v>
      </c>
      <c r="D6" t="s">
        <v>41</v>
      </c>
    </row>
    <row r="7" spans="1:4">
      <c r="A7" t="s">
        <v>48</v>
      </c>
      <c r="B7" t="s">
        <v>37</v>
      </c>
      <c r="C7">
        <v>15999</v>
      </c>
      <c r="D7" t="s">
        <v>38</v>
      </c>
    </row>
    <row r="8" spans="1:4">
      <c r="A8" t="s">
        <v>49</v>
      </c>
      <c r="B8" t="s">
        <v>50</v>
      </c>
      <c r="C8">
        <v>3499</v>
      </c>
      <c r="D8" t="s">
        <v>41</v>
      </c>
    </row>
    <row r="9" spans="1:4">
      <c r="A9" t="s">
        <v>51</v>
      </c>
      <c r="B9" t="s">
        <v>52</v>
      </c>
      <c r="C9">
        <v>18999</v>
      </c>
      <c r="D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E797-CE75-4F75-9968-1A03E468B6EE}">
  <dimension ref="A3:E6"/>
  <sheetViews>
    <sheetView tabSelected="1" workbookViewId="0">
      <selection activeCell="E5" sqref="E5"/>
    </sheetView>
  </sheetViews>
  <sheetFormatPr defaultRowHeight="15"/>
  <cols>
    <col min="1" max="1" width="13.140625" bestFit="1" customWidth="1"/>
    <col min="2" max="2" width="19.28515625" bestFit="1" customWidth="1"/>
    <col min="5" max="5" width="28.85546875" bestFit="1" customWidth="1"/>
  </cols>
  <sheetData>
    <row r="3" spans="1:5">
      <c r="A3" s="4" t="s">
        <v>78</v>
      </c>
      <c r="B3" t="s">
        <v>80</v>
      </c>
      <c r="E3" t="s">
        <v>90</v>
      </c>
    </row>
    <row r="4" spans="1:5">
      <c r="A4" s="5" t="s">
        <v>88</v>
      </c>
      <c r="B4" s="7">
        <v>1</v>
      </c>
      <c r="E4" t="s">
        <v>91</v>
      </c>
    </row>
    <row r="5" spans="1:5">
      <c r="A5" s="5" t="s">
        <v>89</v>
      </c>
      <c r="B5" s="7">
        <v>0</v>
      </c>
    </row>
    <row r="6" spans="1:5">
      <c r="A6" s="5" t="s">
        <v>79</v>
      </c>
      <c r="B6" s="6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ECBA-8597-44D7-9305-76958617AED2}">
  <dimension ref="A1:K9"/>
  <sheetViews>
    <sheetView tabSelected="1" workbookViewId="0">
      <selection activeCell="E5" sqref="E5"/>
    </sheetView>
  </sheetViews>
  <sheetFormatPr defaultRowHeight="15"/>
  <cols>
    <col min="1" max="1" width="8.5703125" bestFit="1" customWidth="1"/>
    <col min="2" max="2" width="12" bestFit="1" customWidth="1"/>
    <col min="3" max="3" width="10.5703125" bestFit="1" customWidth="1"/>
    <col min="4" max="4" width="11.7109375" bestFit="1" customWidth="1"/>
    <col min="5" max="5" width="16.5703125" bestFit="1" customWidth="1"/>
    <col min="6" max="6" width="17" bestFit="1" customWidth="1"/>
    <col min="7" max="7" width="12.140625" bestFit="1" customWidth="1"/>
    <col min="8" max="8" width="10.85546875" bestFit="1" customWidth="1"/>
    <col min="10" max="10" width="19.7109375" bestFit="1" customWidth="1"/>
  </cols>
  <sheetData>
    <row r="1" spans="1:11">
      <c r="A1" s="2" t="s">
        <v>53</v>
      </c>
      <c r="B1" s="2" t="s">
        <v>59</v>
      </c>
      <c r="C1" s="2" t="s">
        <v>32</v>
      </c>
      <c r="D1" s="2" t="s">
        <v>58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76</v>
      </c>
      <c r="J1" s="2" t="s">
        <v>77</v>
      </c>
      <c r="K1" s="2" t="s">
        <v>87</v>
      </c>
    </row>
    <row r="2" spans="1:11">
      <c r="A2" t="s">
        <v>60</v>
      </c>
      <c r="B2" t="s">
        <v>4</v>
      </c>
      <c r="C2" t="s">
        <v>36</v>
      </c>
      <c r="D2">
        <v>22499</v>
      </c>
      <c r="E2">
        <v>10</v>
      </c>
      <c r="F2" t="s">
        <v>61</v>
      </c>
      <c r="G2" t="s">
        <v>62</v>
      </c>
      <c r="H2" s="1">
        <v>45296</v>
      </c>
      <c r="I2">
        <f>IF(OR(G2="Returned",G2="Cancelled",G2="Rejected"),1,0)</f>
        <v>1</v>
      </c>
      <c r="K2" t="str">
        <f>IF(OR(F2="COD",H2="100+ km",VLOOKUP(B2,Customers!A:D,4,FALSE)&gt;0.15),"High Risk","Low Risk")</f>
        <v>High Risk</v>
      </c>
    </row>
    <row r="3" spans="1:11">
      <c r="A3" t="s">
        <v>63</v>
      </c>
      <c r="B3" t="s">
        <v>6</v>
      </c>
      <c r="C3" t="s">
        <v>39</v>
      </c>
      <c r="D3">
        <v>1799</v>
      </c>
      <c r="E3">
        <v>10</v>
      </c>
      <c r="F3" t="s">
        <v>64</v>
      </c>
      <c r="G3" t="s">
        <v>65</v>
      </c>
      <c r="H3" s="1">
        <v>45297</v>
      </c>
      <c r="I3">
        <f t="shared" ref="I3:I9" si="0">IF(OR(G3="Returned",G3="Cancelled",G3="Rejected"),1,0)</f>
        <v>0</v>
      </c>
      <c r="J3" s="3">
        <f>AVERAGE(I2:I9)*100</f>
        <v>62.5</v>
      </c>
      <c r="K3" t="str">
        <f>IF(OR(F3="COD",H3="100+ km",VLOOKUP(B3,Customers!A:D,4,FALSE)&gt;0.15),"High Risk","Low Risk")</f>
        <v>Low Risk</v>
      </c>
    </row>
    <row r="4" spans="1:11">
      <c r="A4" t="s">
        <v>66</v>
      </c>
      <c r="B4" t="s">
        <v>9</v>
      </c>
      <c r="C4" t="s">
        <v>42</v>
      </c>
      <c r="D4">
        <v>11699</v>
      </c>
      <c r="E4">
        <v>10</v>
      </c>
      <c r="F4" t="s">
        <v>61</v>
      </c>
      <c r="G4" t="s">
        <v>67</v>
      </c>
      <c r="H4" s="1">
        <v>45298</v>
      </c>
      <c r="I4">
        <f t="shared" si="0"/>
        <v>1</v>
      </c>
      <c r="K4" t="str">
        <f>IF(OR(F4="COD",H4="100+ km",VLOOKUP(B4,Customers!A:D,4,FALSE)&gt;0.15),"High Risk","Low Risk")</f>
        <v>High Risk</v>
      </c>
    </row>
    <row r="5" spans="1:11">
      <c r="A5" t="s">
        <v>68</v>
      </c>
      <c r="B5" t="s">
        <v>12</v>
      </c>
      <c r="C5" t="s">
        <v>44</v>
      </c>
      <c r="D5">
        <v>699</v>
      </c>
      <c r="E5">
        <v>12</v>
      </c>
      <c r="F5" t="s">
        <v>64</v>
      </c>
      <c r="G5" t="s">
        <v>65</v>
      </c>
      <c r="H5" s="1">
        <v>45298</v>
      </c>
      <c r="I5">
        <f t="shared" si="0"/>
        <v>0</v>
      </c>
      <c r="K5" t="str">
        <f>IF(OR(F5="COD",H5="100+ km",VLOOKUP(B5,Customers!A:D,4,FALSE)&gt;0.15),"High Risk","Low Risk")</f>
        <v>Low Risk</v>
      </c>
    </row>
    <row r="6" spans="1:11">
      <c r="A6" t="s">
        <v>69</v>
      </c>
      <c r="B6" t="s">
        <v>15</v>
      </c>
      <c r="C6" t="s">
        <v>46</v>
      </c>
      <c r="D6">
        <v>2699</v>
      </c>
      <c r="E6">
        <v>10</v>
      </c>
      <c r="F6" t="s">
        <v>61</v>
      </c>
      <c r="G6" t="s">
        <v>62</v>
      </c>
      <c r="H6" s="1">
        <v>45299</v>
      </c>
      <c r="I6">
        <f t="shared" si="0"/>
        <v>1</v>
      </c>
      <c r="K6" t="str">
        <f>IF(OR(F6="COD",H6="100+ km",VLOOKUP(B6,Customers!A:D,4,FALSE)&gt;0.15),"High Risk","Low Risk")</f>
        <v>High Risk</v>
      </c>
    </row>
    <row r="7" spans="1:11">
      <c r="A7" t="s">
        <v>70</v>
      </c>
      <c r="B7" t="s">
        <v>18</v>
      </c>
      <c r="C7" t="s">
        <v>48</v>
      </c>
      <c r="D7">
        <v>13999</v>
      </c>
      <c r="E7">
        <v>12</v>
      </c>
      <c r="F7" t="s">
        <v>64</v>
      </c>
      <c r="G7" t="s">
        <v>65</v>
      </c>
      <c r="H7" s="1">
        <v>45300</v>
      </c>
      <c r="I7">
        <f t="shared" si="0"/>
        <v>0</v>
      </c>
      <c r="K7" t="str">
        <f>IF(OR(F7="COD",H7="100+ km",VLOOKUP(B7,Customers!A:D,4,FALSE)&gt;0.15),"High Risk","Low Risk")</f>
        <v>Low Risk</v>
      </c>
    </row>
    <row r="8" spans="1:11">
      <c r="A8" t="s">
        <v>71</v>
      </c>
      <c r="B8" t="s">
        <v>20</v>
      </c>
      <c r="C8" t="s">
        <v>49</v>
      </c>
      <c r="D8">
        <v>2999</v>
      </c>
      <c r="E8">
        <v>15</v>
      </c>
      <c r="F8" t="s">
        <v>61</v>
      </c>
      <c r="G8" t="s">
        <v>72</v>
      </c>
      <c r="H8" s="1">
        <v>45301</v>
      </c>
      <c r="I8">
        <f t="shared" si="0"/>
        <v>1</v>
      </c>
      <c r="K8" t="str">
        <f>IF(OR(F8="COD",H8="100+ km",VLOOKUP(B8,Customers!A:D,4,FALSE)&gt;0.15),"High Risk","Low Risk")</f>
        <v>High Risk</v>
      </c>
    </row>
    <row r="9" spans="1:11">
      <c r="A9" t="s">
        <v>73</v>
      </c>
      <c r="B9" t="s">
        <v>23</v>
      </c>
      <c r="C9" t="s">
        <v>51</v>
      </c>
      <c r="D9">
        <v>16999</v>
      </c>
      <c r="E9">
        <v>10</v>
      </c>
      <c r="F9" t="s">
        <v>61</v>
      </c>
      <c r="G9" t="s">
        <v>62</v>
      </c>
      <c r="H9" s="1">
        <v>45302</v>
      </c>
      <c r="I9">
        <f t="shared" si="0"/>
        <v>1</v>
      </c>
      <c r="K9" t="str">
        <f>IF(OR(F9="COD",H9="100+ km",VLOOKUP(B9,Customers!A:D,4,FALSE)&gt;0.15),"High Risk","Low Risk")</f>
        <v>High Risk</v>
      </c>
    </row>
  </sheetData>
  <conditionalFormatting sqref="K2:K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98F3-12DE-4FB5-AF05-B48FBDD82868}">
  <dimension ref="A3:D9"/>
  <sheetViews>
    <sheetView tabSelected="1" workbookViewId="0">
      <selection activeCell="E5" sqref="E5"/>
    </sheetView>
  </sheetViews>
  <sheetFormatPr defaultRowHeight="15"/>
  <cols>
    <col min="1" max="1" width="13.140625" bestFit="1" customWidth="1"/>
    <col min="2" max="2" width="19.28515625" bestFit="1" customWidth="1"/>
    <col min="4" max="4" width="35.7109375" bestFit="1" customWidth="1"/>
  </cols>
  <sheetData>
    <row r="3" spans="1:4">
      <c r="A3" s="4" t="s">
        <v>78</v>
      </c>
      <c r="B3" t="s">
        <v>80</v>
      </c>
      <c r="D3" t="s">
        <v>95</v>
      </c>
    </row>
    <row r="4" spans="1:4">
      <c r="A4" s="5" t="s">
        <v>61</v>
      </c>
      <c r="B4">
        <v>1</v>
      </c>
    </row>
    <row r="5" spans="1:4">
      <c r="A5" s="5" t="s">
        <v>64</v>
      </c>
      <c r="B5">
        <v>0</v>
      </c>
      <c r="D5" t="s">
        <v>96</v>
      </c>
    </row>
    <row r="6" spans="1:4">
      <c r="A6" s="5" t="s">
        <v>79</v>
      </c>
      <c r="B6" s="6">
        <v>0.625</v>
      </c>
      <c r="D6" s="9"/>
    </row>
    <row r="7" spans="1:4">
      <c r="D7" s="10" t="s">
        <v>97</v>
      </c>
    </row>
    <row r="8" spans="1:4">
      <c r="D8" s="9"/>
    </row>
    <row r="9" spans="1:4">
      <c r="D9" s="9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B186-3211-4D47-836F-F09F6E94C842}">
  <dimension ref="A1:E9"/>
  <sheetViews>
    <sheetView tabSelected="1" workbookViewId="0">
      <selection activeCell="E5" sqref="E5"/>
    </sheetView>
  </sheetViews>
  <sheetFormatPr defaultRowHeight="15"/>
  <cols>
    <col min="1" max="1" width="8.5703125" bestFit="1" customWidth="1"/>
    <col min="2" max="2" width="20.7109375" bestFit="1" customWidth="1"/>
    <col min="3" max="3" width="13.42578125" bestFit="1" customWidth="1"/>
    <col min="4" max="4" width="15.5703125" bestFit="1" customWidth="1"/>
  </cols>
  <sheetData>
    <row r="1" spans="1:5">
      <c r="A1" s="2" t="s">
        <v>53</v>
      </c>
      <c r="B1" s="2" t="s">
        <v>74</v>
      </c>
      <c r="C1" s="2" t="s">
        <v>75</v>
      </c>
      <c r="D1" s="2" t="s">
        <v>81</v>
      </c>
      <c r="E1" s="2" t="s">
        <v>82</v>
      </c>
    </row>
    <row r="2" spans="1:5">
      <c r="A2" t="s">
        <v>60</v>
      </c>
      <c r="B2">
        <v>120</v>
      </c>
      <c r="C2">
        <v>6</v>
      </c>
      <c r="D2" t="str">
        <f>IF(B2&lt;=50,"0-50 km",IF(B2&lt;=100,"50-100 km","100+ km"))</f>
        <v>100+ km</v>
      </c>
      <c r="E2">
        <f>VLOOKUP(A2,Orders!A:I,9,FALSE)</f>
        <v>1</v>
      </c>
    </row>
    <row r="3" spans="1:5">
      <c r="A3" t="s">
        <v>63</v>
      </c>
      <c r="B3">
        <v>18</v>
      </c>
      <c r="C3">
        <v>2</v>
      </c>
      <c r="D3" t="str">
        <f t="shared" ref="D3:D9" si="0">IF(B3&lt;=50,"0-50 km",IF(B3&lt;=100,"50-100 km","100+ km"))</f>
        <v>0-50 km</v>
      </c>
      <c r="E3">
        <f>VLOOKUP(A3,Orders!A:I,9,FALSE)</f>
        <v>0</v>
      </c>
    </row>
    <row r="4" spans="1:5">
      <c r="A4" t="s">
        <v>66</v>
      </c>
      <c r="B4">
        <v>210</v>
      </c>
      <c r="C4">
        <v>7</v>
      </c>
      <c r="D4" t="str">
        <f t="shared" si="0"/>
        <v>100+ km</v>
      </c>
      <c r="E4">
        <f>VLOOKUP(A4,Orders!A:I,9,FALSE)</f>
        <v>1</v>
      </c>
    </row>
    <row r="5" spans="1:5">
      <c r="A5" t="s">
        <v>68</v>
      </c>
      <c r="B5">
        <v>12</v>
      </c>
      <c r="C5">
        <v>2</v>
      </c>
      <c r="D5" t="str">
        <f t="shared" si="0"/>
        <v>0-50 km</v>
      </c>
      <c r="E5">
        <f>VLOOKUP(A5,Orders!A:I,9,FALSE)</f>
        <v>0</v>
      </c>
    </row>
    <row r="6" spans="1:5">
      <c r="A6" t="s">
        <v>69</v>
      </c>
      <c r="B6">
        <v>95</v>
      </c>
      <c r="C6">
        <v>4</v>
      </c>
      <c r="D6" t="str">
        <f t="shared" si="0"/>
        <v>50-100 km</v>
      </c>
      <c r="E6">
        <f>VLOOKUP(A6,Orders!A:I,9,FALSE)</f>
        <v>1</v>
      </c>
    </row>
    <row r="7" spans="1:5">
      <c r="A7" t="s">
        <v>70</v>
      </c>
      <c r="B7">
        <v>40</v>
      </c>
      <c r="C7">
        <v>3</v>
      </c>
      <c r="D7" t="str">
        <f t="shared" si="0"/>
        <v>0-50 km</v>
      </c>
      <c r="E7">
        <f>VLOOKUP(A7,Orders!A:I,9,FALSE)</f>
        <v>0</v>
      </c>
    </row>
    <row r="8" spans="1:5">
      <c r="A8" t="s">
        <v>71</v>
      </c>
      <c r="B8">
        <v>160</v>
      </c>
      <c r="C8">
        <v>6</v>
      </c>
      <c r="D8" t="str">
        <f t="shared" si="0"/>
        <v>100+ km</v>
      </c>
      <c r="E8">
        <f>VLOOKUP(A8,Orders!A:I,9,FALSE)</f>
        <v>1</v>
      </c>
    </row>
    <row r="9" spans="1:5">
      <c r="A9" t="s">
        <v>73</v>
      </c>
      <c r="B9">
        <v>300</v>
      </c>
      <c r="C9">
        <v>8</v>
      </c>
      <c r="D9" t="str">
        <f t="shared" si="0"/>
        <v>100+ km</v>
      </c>
      <c r="E9">
        <f>VLOOKUP(A9,Orders!A:I,9,FALSE)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D63B-976E-4ECF-8958-A0044BAA2645}">
  <dimension ref="A3:D7"/>
  <sheetViews>
    <sheetView tabSelected="1" workbookViewId="0">
      <selection activeCell="E5" sqref="E5"/>
    </sheetView>
  </sheetViews>
  <sheetFormatPr defaultRowHeight="15"/>
  <cols>
    <col min="1" max="1" width="13.140625" bestFit="1" customWidth="1"/>
    <col min="2" max="2" width="17.28515625" bestFit="1" customWidth="1"/>
    <col min="4" max="4" width="25" bestFit="1" customWidth="1"/>
  </cols>
  <sheetData>
    <row r="3" spans="1:4">
      <c r="A3" s="4" t="s">
        <v>78</v>
      </c>
      <c r="B3" t="s">
        <v>86</v>
      </c>
      <c r="D3" s="8" t="s">
        <v>92</v>
      </c>
    </row>
    <row r="4" spans="1:4">
      <c r="A4" s="5" t="s">
        <v>83</v>
      </c>
      <c r="B4">
        <v>0</v>
      </c>
    </row>
    <row r="5" spans="1:4">
      <c r="A5" s="5" t="s">
        <v>84</v>
      </c>
      <c r="B5">
        <v>1</v>
      </c>
      <c r="D5" s="8" t="s">
        <v>93</v>
      </c>
    </row>
    <row r="6" spans="1:4">
      <c r="A6" s="5" t="s">
        <v>85</v>
      </c>
      <c r="B6">
        <v>1</v>
      </c>
    </row>
    <row r="7" spans="1:4">
      <c r="A7" s="5" t="s">
        <v>79</v>
      </c>
      <c r="B7" s="6">
        <v>0.625</v>
      </c>
      <c r="D7" s="8" t="s">
        <v>94</v>
      </c>
    </row>
  </sheetData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products</vt:lpstr>
      <vt:lpstr>Risk %</vt:lpstr>
      <vt:lpstr>Orders</vt:lpstr>
      <vt:lpstr>Return Rate</vt:lpstr>
      <vt:lpstr>Delivery</vt:lpstr>
      <vt:lpstr>pivot by 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Sapneswar Bhadra</dc:creator>
  <cp:lastModifiedBy>Sapneswar Bhadra</cp:lastModifiedBy>
  <dcterms:created xsi:type="dcterms:W3CDTF">2026-01-02T08:30:50Z</dcterms:created>
  <dcterms:modified xsi:type="dcterms:W3CDTF">2026-01-02T09:30:54Z</dcterms:modified>
</cp:coreProperties>
</file>